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Overview" sheetId="1" state="visible" r:id="rId1"/>
    <sheet xmlns:r="http://schemas.openxmlformats.org/officeDocument/2006/relationships" name="Historical Sales" sheetId="2" state="visible" r:id="rId2"/>
    <sheet xmlns:r="http://schemas.openxmlformats.org/officeDocument/2006/relationships" name="Customer &amp; Market" sheetId="3" state="visible" r:id="rId3"/>
    <sheet xmlns:r="http://schemas.openxmlformats.org/officeDocument/2006/relationships" name="Risk Data" sheetId="4" state="visible" r:id="rId4"/>
    <sheet xmlns:r="http://schemas.openxmlformats.org/officeDocument/2006/relationships" name="Financial &amp; Foreca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0&quot;%&quot;"/>
    <numFmt numFmtId="166" formatCode="0.0&quot;%&quot;"/>
    <numFmt numFmtId="167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24-Month Unit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'Historical Sales'!B1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'Historical Sales'!$A$2:$A$25</f>
            </numRef>
          </cat>
          <val>
            <numRef>
              <f>'Historical Sales'!$B$2:$B$25</f>
            </numRef>
          </val>
        </ser>
        <ser>
          <idx val="1"/>
          <order val="1"/>
          <tx>
            <strRef>
              <f>'Historical Sales'!C1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'Historical Sales'!$A$2:$A$25</f>
            </numRef>
          </cat>
          <val>
            <numRef>
              <f>'Historical Sales'!$C$2:$C$25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 Sold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4" customWidth="1" min="4" max="4"/>
    <col width="12" customWidth="1" min="5" max="5"/>
  </cols>
  <sheetData>
    <row r="1">
      <c r="A1" s="1" t="inlineStr">
        <is>
          <t>Product</t>
        </is>
      </c>
      <c r="B1" s="1" t="inlineStr">
        <is>
          <t>Unit Cost (₹)</t>
        </is>
      </c>
      <c r="C1" s="1" t="inlineStr">
        <is>
          <t>Selling Price (₹)</t>
        </is>
      </c>
      <c r="D1" s="1" t="inlineStr">
        <is>
          <t>Fixed Monthly Cost (₹)</t>
        </is>
      </c>
      <c r="E1" s="1" t="inlineStr">
        <is>
          <t>Risk Level</t>
        </is>
      </c>
    </row>
    <row r="2">
      <c r="A2" s="2" t="inlineStr">
        <is>
          <t>Product A</t>
        </is>
      </c>
      <c r="B2" s="3" t="n">
        <v>500</v>
      </c>
      <c r="C2" s="3" t="n">
        <v>900</v>
      </c>
      <c r="D2" s="3" t="n">
        <v>80000</v>
      </c>
      <c r="E2" s="2" t="inlineStr">
        <is>
          <t>Low</t>
        </is>
      </c>
    </row>
    <row r="3">
      <c r="A3" s="2" t="inlineStr">
        <is>
          <t>Product B</t>
        </is>
      </c>
      <c r="B3" s="3" t="n">
        <v>700</v>
      </c>
      <c r="C3" s="3" t="n">
        <v>1200</v>
      </c>
      <c r="D3" s="3" t="n">
        <v>100000</v>
      </c>
      <c r="E3" s="2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23" customWidth="1" min="4" max="4"/>
    <col width="23" customWidth="1" min="5" max="5"/>
  </cols>
  <sheetData>
    <row r="1">
      <c r="A1" s="1" t="inlineStr">
        <is>
          <t>Month</t>
        </is>
      </c>
      <c r="B1" s="1" t="inlineStr">
        <is>
          <t>Product A Units</t>
        </is>
      </c>
      <c r="C1" s="1" t="inlineStr">
        <is>
          <t>Product B Units</t>
        </is>
      </c>
      <c r="D1" s="1" t="inlineStr">
        <is>
          <t>Product A Revenue (₹)</t>
        </is>
      </c>
      <c r="E1" s="1" t="inlineStr">
        <is>
          <t>Product B Revenue (₹)</t>
        </is>
      </c>
    </row>
    <row r="2">
      <c r="A2" s="2" t="inlineStr">
        <is>
          <t>Jan-24</t>
        </is>
      </c>
      <c r="B2" s="2" t="n">
        <v>943</v>
      </c>
      <c r="C2" s="2" t="n">
        <v>655</v>
      </c>
      <c r="D2" s="3" t="n">
        <v>848700</v>
      </c>
      <c r="E2" s="3" t="n">
        <v>786000</v>
      </c>
    </row>
    <row r="3">
      <c r="A3" s="2" t="inlineStr">
        <is>
          <t>Feb-24</t>
        </is>
      </c>
      <c r="B3" s="2" t="n">
        <v>964</v>
      </c>
      <c r="C3" s="2" t="n">
        <v>666</v>
      </c>
      <c r="D3" s="3" t="n">
        <v>867600</v>
      </c>
      <c r="E3" s="3" t="n">
        <v>799200</v>
      </c>
    </row>
    <row r="4">
      <c r="A4" s="2" t="inlineStr">
        <is>
          <t>Mar-24</t>
        </is>
      </c>
      <c r="B4" s="2" t="n">
        <v>1016</v>
      </c>
      <c r="C4" s="2" t="n">
        <v>727</v>
      </c>
      <c r="D4" s="3" t="n">
        <v>914400</v>
      </c>
      <c r="E4" s="3" t="n">
        <v>872400</v>
      </c>
    </row>
    <row r="5">
      <c r="A5" s="2" t="inlineStr">
        <is>
          <t>Apr-24</t>
        </is>
      </c>
      <c r="B5" s="2" t="n">
        <v>1028</v>
      </c>
      <c r="C5" s="2" t="n">
        <v>720</v>
      </c>
      <c r="D5" s="3" t="n">
        <v>925200</v>
      </c>
      <c r="E5" s="3" t="n">
        <v>864000</v>
      </c>
    </row>
    <row r="6">
      <c r="A6" s="2" t="inlineStr">
        <is>
          <t>May-24</t>
        </is>
      </c>
      <c r="B6" s="2" t="n">
        <v>1051</v>
      </c>
      <c r="C6" s="2" t="n">
        <v>755</v>
      </c>
      <c r="D6" s="3" t="n">
        <v>945900</v>
      </c>
      <c r="E6" s="3" t="n">
        <v>906000</v>
      </c>
    </row>
    <row r="7">
      <c r="A7" s="2" t="inlineStr">
        <is>
          <t>Jun-24</t>
        </is>
      </c>
      <c r="B7" s="2" t="n">
        <v>1066</v>
      </c>
      <c r="C7" s="2" t="n">
        <v>814</v>
      </c>
      <c r="D7" s="3" t="n">
        <v>959400</v>
      </c>
      <c r="E7" s="3" t="n">
        <v>976800</v>
      </c>
    </row>
    <row r="8">
      <c r="A8" s="2" t="inlineStr">
        <is>
          <t>Jul-24</t>
        </is>
      </c>
      <c r="B8" s="2" t="n">
        <v>1004</v>
      </c>
      <c r="C8" s="2" t="n">
        <v>706</v>
      </c>
      <c r="D8" s="3" t="n">
        <v>903600</v>
      </c>
      <c r="E8" s="3" t="n">
        <v>847200</v>
      </c>
    </row>
    <row r="9">
      <c r="A9" s="2" t="inlineStr">
        <is>
          <t>Aug-24</t>
        </is>
      </c>
      <c r="B9" s="2" t="n">
        <v>1028</v>
      </c>
      <c r="C9" s="2" t="n">
        <v>759</v>
      </c>
      <c r="D9" s="3" t="n">
        <v>925200</v>
      </c>
      <c r="E9" s="3" t="n">
        <v>910800</v>
      </c>
    </row>
    <row r="10">
      <c r="A10" s="2" t="inlineStr">
        <is>
          <t>Sep-24</t>
        </is>
      </c>
      <c r="B10" s="2" t="n">
        <v>1034</v>
      </c>
      <c r="C10" s="2" t="n">
        <v>774</v>
      </c>
      <c r="D10" s="3" t="n">
        <v>930600</v>
      </c>
      <c r="E10" s="3" t="n">
        <v>928800</v>
      </c>
    </row>
    <row r="11">
      <c r="A11" s="2" t="inlineStr">
        <is>
          <t>Oct-24</t>
        </is>
      </c>
      <c r="B11" s="2" t="n">
        <v>1110</v>
      </c>
      <c r="C11" s="2" t="n">
        <v>834</v>
      </c>
      <c r="D11" s="3" t="n">
        <v>999000</v>
      </c>
      <c r="E11" s="3" t="n">
        <v>1000800</v>
      </c>
    </row>
    <row r="12">
      <c r="A12" s="2" t="inlineStr">
        <is>
          <t>Nov-24</t>
        </is>
      </c>
      <c r="B12" s="2" t="n">
        <v>1171</v>
      </c>
      <c r="C12" s="2" t="n">
        <v>898</v>
      </c>
      <c r="D12" s="3" t="n">
        <v>1053900</v>
      </c>
      <c r="E12" s="3" t="n">
        <v>1077600</v>
      </c>
    </row>
    <row r="13">
      <c r="A13" s="2" t="inlineStr">
        <is>
          <t>Dec-24</t>
        </is>
      </c>
      <c r="B13" s="2" t="n">
        <v>1227</v>
      </c>
      <c r="C13" s="2" t="n">
        <v>983</v>
      </c>
      <c r="D13" s="3" t="n">
        <v>1104300</v>
      </c>
      <c r="E13" s="3" t="n">
        <v>1179600</v>
      </c>
    </row>
    <row r="14">
      <c r="A14" s="2" t="inlineStr">
        <is>
          <t>Jan-25</t>
        </is>
      </c>
      <c r="B14" s="2" t="n">
        <v>1059</v>
      </c>
      <c r="C14" s="2" t="n">
        <v>754</v>
      </c>
      <c r="D14" s="3" t="n">
        <v>953100</v>
      </c>
      <c r="E14" s="3" t="n">
        <v>904800</v>
      </c>
    </row>
    <row r="15">
      <c r="A15" s="2" t="inlineStr">
        <is>
          <t>Feb-25</t>
        </is>
      </c>
      <c r="B15" s="2" t="n">
        <v>1062</v>
      </c>
      <c r="C15" s="2" t="n">
        <v>735</v>
      </c>
      <c r="D15" s="3" t="n">
        <v>955800</v>
      </c>
      <c r="E15" s="3" t="n">
        <v>882000</v>
      </c>
    </row>
    <row r="16">
      <c r="A16" s="2" t="inlineStr">
        <is>
          <t>Mar-25</t>
        </is>
      </c>
      <c r="B16" s="2" t="n">
        <v>1073</v>
      </c>
      <c r="C16" s="2" t="n">
        <v>776</v>
      </c>
      <c r="D16" s="3" t="n">
        <v>965700</v>
      </c>
      <c r="E16" s="3" t="n">
        <v>931200</v>
      </c>
    </row>
    <row r="17">
      <c r="A17" s="2" t="inlineStr">
        <is>
          <t>Apr-25</t>
        </is>
      </c>
      <c r="B17" s="2" t="n">
        <v>1147</v>
      </c>
      <c r="C17" s="2" t="n">
        <v>807</v>
      </c>
      <c r="D17" s="3" t="n">
        <v>1032300</v>
      </c>
      <c r="E17" s="3" t="n">
        <v>968400</v>
      </c>
    </row>
    <row r="18">
      <c r="A18" s="2" t="inlineStr">
        <is>
          <t>May-25</t>
        </is>
      </c>
      <c r="B18" s="2" t="n">
        <v>1147</v>
      </c>
      <c r="C18" s="2" t="n">
        <v>868</v>
      </c>
      <c r="D18" s="3" t="n">
        <v>1032300</v>
      </c>
      <c r="E18" s="3" t="n">
        <v>1041600</v>
      </c>
    </row>
    <row r="19">
      <c r="A19" s="2" t="inlineStr">
        <is>
          <t>Jun-25</t>
        </is>
      </c>
      <c r="B19" s="2" t="n">
        <v>1177</v>
      </c>
      <c r="C19" s="2" t="n">
        <v>882</v>
      </c>
      <c r="D19" s="3" t="n">
        <v>1059300</v>
      </c>
      <c r="E19" s="3" t="n">
        <v>1058400</v>
      </c>
    </row>
    <row r="20">
      <c r="A20" s="2" t="inlineStr">
        <is>
          <t>Jul-25</t>
        </is>
      </c>
      <c r="B20" s="2" t="n">
        <v>1075</v>
      </c>
      <c r="C20" s="2" t="n">
        <v>783</v>
      </c>
      <c r="D20" s="3" t="n">
        <v>967500</v>
      </c>
      <c r="E20" s="3" t="n">
        <v>939600</v>
      </c>
    </row>
    <row r="21">
      <c r="A21" s="2" t="inlineStr">
        <is>
          <t>Aug-25</t>
        </is>
      </c>
      <c r="B21" s="2" t="n">
        <v>1116</v>
      </c>
      <c r="C21" s="2" t="n">
        <v>853</v>
      </c>
      <c r="D21" s="3" t="n">
        <v>1004400</v>
      </c>
      <c r="E21" s="3" t="n">
        <v>1023600</v>
      </c>
    </row>
    <row r="22">
      <c r="A22" s="2" t="inlineStr">
        <is>
          <t>Sep-25</t>
        </is>
      </c>
      <c r="B22" s="2" t="n">
        <v>1124</v>
      </c>
      <c r="C22" s="2" t="n">
        <v>853</v>
      </c>
      <c r="D22" s="3" t="n">
        <v>1011600</v>
      </c>
      <c r="E22" s="3" t="n">
        <v>1023600</v>
      </c>
    </row>
    <row r="23">
      <c r="A23" s="2" t="inlineStr">
        <is>
          <t>Oct-25</t>
        </is>
      </c>
      <c r="B23" s="2" t="n">
        <v>1205</v>
      </c>
      <c r="C23" s="2" t="n">
        <v>899</v>
      </c>
      <c r="D23" s="3" t="n">
        <v>1084500</v>
      </c>
      <c r="E23" s="3" t="n">
        <v>1078800</v>
      </c>
    </row>
    <row r="24">
      <c r="A24" s="2" t="inlineStr">
        <is>
          <t>Nov-25</t>
        </is>
      </c>
      <c r="B24" s="2" t="n">
        <v>1276</v>
      </c>
      <c r="C24" s="2" t="n">
        <v>1002</v>
      </c>
      <c r="D24" s="3" t="n">
        <v>1148400</v>
      </c>
      <c r="E24" s="3" t="n">
        <v>1202400</v>
      </c>
    </row>
    <row r="25">
      <c r="A25" s="2" t="inlineStr">
        <is>
          <t>Dec-25</t>
        </is>
      </c>
      <c r="B25" s="2" t="n">
        <v>1386</v>
      </c>
      <c r="C25" s="2" t="n">
        <v>1070</v>
      </c>
      <c r="D25" s="3" t="n">
        <v>1247400</v>
      </c>
      <c r="E25" s="3" t="n">
        <v>1284000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28" customWidth="1" min="4" max="4"/>
    <col width="18" customWidth="1" min="5" max="5"/>
    <col width="13" customWidth="1" min="6" max="6"/>
  </cols>
  <sheetData>
    <row r="1">
      <c r="A1" s="1" t="inlineStr">
        <is>
          <t>Product</t>
        </is>
      </c>
      <c r="B1" s="1" t="inlineStr">
        <is>
          <t>Customer Demand</t>
        </is>
      </c>
      <c r="C1" s="1" t="inlineStr">
        <is>
          <t>Demand Growth (%)</t>
        </is>
      </c>
      <c r="D1" s="1" t="inlineStr">
        <is>
          <t>Customer Satisfaction (/10)</t>
        </is>
      </c>
      <c r="E1" s="1" t="inlineStr">
        <is>
          <t>Market Share (%)</t>
        </is>
      </c>
      <c r="F1" s="1" t="inlineStr">
        <is>
          <t>Competition</t>
        </is>
      </c>
    </row>
    <row r="2">
      <c r="A2" s="2" t="inlineStr">
        <is>
          <t>Product A</t>
        </is>
      </c>
      <c r="B2" s="2" t="inlineStr">
        <is>
          <t>High</t>
        </is>
      </c>
      <c r="C2" s="4" t="n">
        <v>8</v>
      </c>
      <c r="D2" s="2" t="n">
        <v>8.699999999999999</v>
      </c>
      <c r="E2" s="5" t="n">
        <v>8.4</v>
      </c>
      <c r="F2" s="2" t="inlineStr">
        <is>
          <t>Medium</t>
        </is>
      </c>
    </row>
    <row r="3">
      <c r="A3" s="2" t="inlineStr">
        <is>
          <t>Product B</t>
        </is>
      </c>
      <c r="B3" s="2" t="inlineStr">
        <is>
          <t>Medium</t>
        </is>
      </c>
      <c r="C3" s="4" t="n">
        <v>15</v>
      </c>
      <c r="D3" s="2" t="n">
        <v>8.1</v>
      </c>
      <c r="E3" s="5" t="n">
        <v>5.7</v>
      </c>
      <c r="F3" s="2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</cols>
  <sheetData>
    <row r="1">
      <c r="A1" s="1" t="inlineStr">
        <is>
          <t>Risk Factor</t>
        </is>
      </c>
      <c r="B1" s="1" t="inlineStr">
        <is>
          <t>Product A</t>
        </is>
      </c>
      <c r="C1" s="1" t="inlineStr">
        <is>
          <t>Product B</t>
        </is>
      </c>
    </row>
    <row r="2">
      <c r="A2" s="2" t="inlineStr">
        <is>
          <t>Supply Risk</t>
        </is>
      </c>
      <c r="B2" s="2" t="inlineStr">
        <is>
          <t>Low</t>
        </is>
      </c>
      <c r="C2" s="2" t="inlineStr">
        <is>
          <t>Medium</t>
        </is>
      </c>
    </row>
    <row r="3">
      <c r="A3" s="2" t="inlineStr">
        <is>
          <t>Market Risk</t>
        </is>
      </c>
      <c r="B3" s="2" t="inlineStr">
        <is>
          <t>Low</t>
        </is>
      </c>
      <c r="C3" s="2" t="inlineStr">
        <is>
          <t>High</t>
        </is>
      </c>
    </row>
    <row r="4">
      <c r="A4" s="2" t="inlineStr">
        <is>
          <t>Competition Risk</t>
        </is>
      </c>
      <c r="B4" s="2" t="inlineStr">
        <is>
          <t>Medium</t>
        </is>
      </c>
      <c r="C4" s="2" t="inlineStr">
        <is>
          <t>High</t>
        </is>
      </c>
    </row>
    <row r="5">
      <c r="A5" s="2" t="inlineStr">
        <is>
          <t>Pricing Risk</t>
        </is>
      </c>
      <c r="B5" s="2" t="inlineStr">
        <is>
          <t>Low</t>
        </is>
      </c>
      <c r="C5" s="2" t="inlineStr">
        <is>
          <t>High</t>
        </is>
      </c>
    </row>
    <row r="6">
      <c r="A6" s="2" t="inlineStr">
        <is>
          <t>Operational Risk</t>
        </is>
      </c>
      <c r="B6" s="2" t="inlineStr">
        <is>
          <t>Low</t>
        </is>
      </c>
      <c r="C6" s="2" t="inlineStr">
        <is>
          <t>Medium</t>
        </is>
      </c>
    </row>
    <row r="7">
      <c r="A7" s="2" t="inlineStr">
        <is>
          <t>Overall Risk</t>
        </is>
      </c>
      <c r="B7" s="2" t="inlineStr">
        <is>
          <t>Low</t>
        </is>
      </c>
      <c r="C7" s="2" t="inlineStr">
        <is>
          <t>Medium-High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21" customWidth="1" min="4" max="4"/>
    <col width="19" customWidth="1" min="5" max="5"/>
    <col width="26" customWidth="1" min="6" max="6"/>
    <col width="26" customWidth="1" min="7" max="7"/>
  </cols>
  <sheetData>
    <row r="1">
      <c r="A1" s="1" t="inlineStr">
        <is>
          <t>Product</t>
        </is>
      </c>
      <c r="B1" s="1" t="inlineStr">
        <is>
          <t>Annual Revenue (₹)</t>
        </is>
      </c>
      <c r="C1" s="1" t="inlineStr">
        <is>
          <t>Total Annual Cost (₹)</t>
        </is>
      </c>
      <c r="D1" s="1" t="inlineStr">
        <is>
          <t>Expected Profit (₹)</t>
        </is>
      </c>
      <c r="E1" s="1" t="inlineStr">
        <is>
          <t>Profit Margin (%)</t>
        </is>
      </c>
      <c r="F1" s="1" t="inlineStr">
        <is>
          <t>2026 Forecast Profit (₹)</t>
        </is>
      </c>
      <c r="G1" s="1" t="inlineStr">
        <is>
          <t>2027 Forecast Profit (₹)</t>
        </is>
      </c>
    </row>
    <row r="2">
      <c r="A2" s="2" t="inlineStr">
        <is>
          <t>Product A</t>
        </is>
      </c>
      <c r="B2" s="3">
        <f>SUM('Historical Sales'!D2:D25)</f>
        <v/>
      </c>
      <c r="C2" s="3">
        <f>SUM('Historical Sales'!B2:B25)*'Product Overview'!B2 + 'Product Overview'!D2*12</f>
        <v/>
      </c>
      <c r="D2" s="3">
        <f>B2-C2</f>
        <v/>
      </c>
      <c r="E2" s="6">
        <f>D2/B2*100</f>
        <v/>
      </c>
      <c r="F2" s="3">
        <f>D2*1.12</f>
        <v/>
      </c>
      <c r="G2" s="3">
        <f>D2*1.25</f>
        <v/>
      </c>
    </row>
    <row r="3">
      <c r="A3" s="2" t="inlineStr">
        <is>
          <t>Product B</t>
        </is>
      </c>
      <c r="B3" s="3">
        <f>SUM('Historical Sales'!E2:E25)</f>
        <v/>
      </c>
      <c r="C3" s="3">
        <f>SUM('Historical Sales'!C2:C25)*'Product Overview'!B3 + 'Product Overview'!D3*12</f>
        <v/>
      </c>
      <c r="D3" s="3">
        <f>B3-C3</f>
        <v/>
      </c>
      <c r="E3" s="6">
        <f>D3/B3*100</f>
        <v/>
      </c>
      <c r="F3" s="3">
        <f>D3*1.20</f>
        <v/>
      </c>
      <c r="G3" s="3">
        <f>D3*1.40</f>
        <v/>
      </c>
    </row>
    <row r="6" ht="45" customHeight="1">
      <c r="A6" s="7" t="inlineStr">
        <is>
          <t>Analysis Note</t>
        </is>
      </c>
      <c r="B6" s="2" t="inlineStr">
        <is>
          <t>Use the workbook to compare current profitability with demand growth and risk. Product A is designed to be stronger today; Product B has stronger long-term growth potential.</t>
        </is>
      </c>
    </row>
  </sheetData>
  <mergeCells count="1"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2026-08-09T17:24:12Z</dcterms:created>
  <dcterms:modified xmlns:dcterms="http://purl.org/dc/terms/" xmlns:xsi="http://www.w3.org/2001/XMLSchema-instance" xsi:type="dcterms:W3CDTF">2026-08-09T17:24:12Z</dcterms:modified>
</cp:coreProperties>
</file>